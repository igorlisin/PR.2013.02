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xWindow="120" yWindow="120" windowWidth="9720" windowHeight="7320" activeTab="1"/>
  </bookViews>
  <sheets>
    <sheet name="Данные" sheetId="1" r:id="rId1"/>
    <sheet name="Договор" sheetId="3" r:id="rId2"/>
    <sheet name="Приходник" sheetId="2" r:id="rId3"/>
    <sheet name="Список" sheetId="4" r:id="rId4"/>
  </sheets>
  <externalReferences>
    <externalReference r:id="rId5"/>
  </externalReferences>
  <definedNames>
    <definedName name="_xlnm._FilterDatabase" localSheetId="0" hidden="1">Данные!$B$18:$B$18</definedName>
    <definedName name="_xlnm._FilterDatabase" localSheetId="3" hidden="1">Список!$A$1:$A$2</definedName>
    <definedName name="_xlnm.Print_Area" localSheetId="1">Договор!$A$1:$L$59</definedName>
    <definedName name="_xlnm.Print_Area" localSheetId="2">Приходник!$B$1:$G$33</definedName>
    <definedName name="Поставщики">'[1]Список поставщиков'!$A$1:$A$25</definedName>
    <definedName name="Список">Список!$A$1:$A$2</definedName>
  </definedNames>
  <calcPr calcId="145621"/>
</workbook>
</file>

<file path=xl/calcChain.xml><?xml version="1.0" encoding="utf-8"?>
<calcChain xmlns="http://schemas.openxmlformats.org/spreadsheetml/2006/main">
  <c r="B18" i="1" l="1"/>
  <c r="B31" i="3" s="1"/>
  <c r="B16" i="1"/>
  <c r="C6" i="2" s="1"/>
  <c r="B21" i="2" s="1"/>
  <c r="K52" i="3"/>
  <c r="E5" i="2"/>
  <c r="C10" i="2"/>
  <c r="E9" i="2"/>
  <c r="B14" i="2"/>
  <c r="C12" i="2"/>
  <c r="C8" i="2"/>
  <c r="F52" i="3"/>
  <c r="B50" i="3"/>
  <c r="D47" i="3"/>
  <c r="B29" i="3"/>
  <c r="B5" i="1"/>
  <c r="B4" i="3" s="1"/>
  <c r="D44" i="3"/>
  <c r="D59" i="3"/>
  <c r="A59" i="3"/>
  <c r="D40" i="3"/>
  <c r="D38" i="3"/>
  <c r="D39" i="3"/>
  <c r="D45" i="3"/>
  <c r="B9" i="3"/>
  <c r="B10" i="3"/>
  <c r="A45" i="3"/>
  <c r="C23" i="3"/>
  <c r="B23" i="3"/>
  <c r="B19" i="3"/>
  <c r="E18" i="3"/>
  <c r="B16" i="3"/>
  <c r="A4" i="3"/>
  <c r="J2" i="3"/>
  <c r="D1" i="3"/>
  <c r="J47" i="3"/>
</calcChain>
</file>

<file path=xl/sharedStrings.xml><?xml version="1.0" encoding="utf-8"?>
<sst xmlns="http://schemas.openxmlformats.org/spreadsheetml/2006/main" count="129" uniqueCount="122">
  <si>
    <t xml:space="preserve">г. Набережные Челны </t>
  </si>
  <si>
    <t>1. Предмет Договора</t>
  </si>
  <si>
    <t>2. Задание на оценку</t>
  </si>
  <si>
    <t>3. Стоимость работ и порядок расчетов</t>
  </si>
  <si>
    <t>4.Права и обязанности сторон</t>
  </si>
  <si>
    <t>4.1. Обязанности Исполнителя:</t>
  </si>
  <si>
    <t xml:space="preserve">4.2. Обязанности Заказчика:      </t>
  </si>
  <si>
    <t xml:space="preserve">5.Сведения об Оценщиках, которые будут проводить оценку </t>
  </si>
  <si>
    <t xml:space="preserve">2.1. Объект оценки: </t>
  </si>
  <si>
    <t xml:space="preserve">2.2. Имущественные права на объект оценки: </t>
  </si>
  <si>
    <t xml:space="preserve">2.3. Цель оценки: </t>
  </si>
  <si>
    <t>2.4. Вид определяемой стоимости</t>
  </si>
  <si>
    <t>Определение стоимости Объекта оценки.</t>
  </si>
  <si>
    <t xml:space="preserve">По состоянию на </t>
  </si>
  <si>
    <t>Результаты оценки представленные Заказчику действительны и могут использоваться только для целей использования указанных в настоящем  задании на оценку.</t>
  </si>
  <si>
    <t>2.5. Предполагаемое использование результатов оценки и связанные с этим ограничения:</t>
  </si>
  <si>
    <t xml:space="preserve">2.6. Дата оценки: </t>
  </si>
  <si>
    <t xml:space="preserve">2.7. Срок проведения оценки: </t>
  </si>
  <si>
    <t xml:space="preserve">2.8. Допущения и ограничения, существенно влияющие на величину определяемой стоимости настоящего Объекта оценки: </t>
  </si>
  <si>
    <t xml:space="preserve">5.1. Фамилия, имя, отчество: </t>
  </si>
  <si>
    <t>Фадеев Владимир Петрович</t>
  </si>
  <si>
    <t xml:space="preserve">5.2. Информация о членстве в СРО: </t>
  </si>
  <si>
    <t>6.Ответственность сторон.</t>
  </si>
  <si>
    <t>10.Адреса и банковские реквизиты Сторон.</t>
  </si>
  <si>
    <t>Исполнитель:</t>
  </si>
  <si>
    <t>ООО "ТАКСАТОР"</t>
  </si>
  <si>
    <t xml:space="preserve">Генеральный директор </t>
  </si>
  <si>
    <t xml:space="preserve">(Фадеев В.П.)  </t>
  </si>
  <si>
    <t>Заказчик:</t>
  </si>
  <si>
    <t>от</t>
  </si>
  <si>
    <t>Фадеев В.П.</t>
  </si>
  <si>
    <t>Сумма</t>
  </si>
  <si>
    <t>(НДС не облагается)</t>
  </si>
  <si>
    <t>Номер договора</t>
  </si>
  <si>
    <t>Дата договора</t>
  </si>
  <si>
    <t>Ф.И.О. Закачика</t>
  </si>
  <si>
    <t>Объект оценки</t>
  </si>
  <si>
    <t>Собственник Объекта</t>
  </si>
  <si>
    <t>Дата оценки</t>
  </si>
  <si>
    <t>Цель оценки (для чего)</t>
  </si>
  <si>
    <t xml:space="preserve">Срок проведения </t>
  </si>
  <si>
    <t>Стоимость услуг</t>
  </si>
  <si>
    <t>Адрес заказчика</t>
  </si>
  <si>
    <t>Паспортные данные</t>
  </si>
  <si>
    <t>Ф.И.О. сокращенно</t>
  </si>
  <si>
    <t>Стоимость прописью</t>
  </si>
  <si>
    <t>Определение стоимости Объекта оценки для:</t>
  </si>
  <si>
    <t>Рыночная стоимость</t>
  </si>
  <si>
    <t>Тел/факс (8552) 57-37-09</t>
  </si>
  <si>
    <t xml:space="preserve">в дальнейшем Заказчик, с одной стороны, </t>
  </si>
  <si>
    <t>г. Наб.Челны, Автозаводский пр-т, д. 22А, оф.202</t>
  </si>
  <si>
    <t>р/с 40702810500000003267 в ОАО "Акибанк" г.Н.Челны, к/с 30101810100000000803, ИНН 1650149916</t>
  </si>
  <si>
    <r>
      <t xml:space="preserve">и </t>
    </r>
    <r>
      <rPr>
        <b/>
        <sz val="9"/>
        <rFont val="Times New Roman"/>
        <family val="1"/>
        <charset val="204"/>
      </rPr>
      <t>ООО "ТАКСАТОР"</t>
    </r>
    <r>
      <rPr>
        <sz val="9"/>
        <rFont val="Times New Roman"/>
        <family val="1"/>
        <charset val="204"/>
      </rPr>
      <t xml:space="preserve">, именуемое в  дальнейшем Исполнитель, в лице генерального директора </t>
    </r>
    <r>
      <rPr>
        <b/>
        <sz val="9"/>
        <rFont val="Times New Roman"/>
        <family val="1"/>
        <charset val="204"/>
      </rPr>
      <t>Фадеева Владимира Петровича</t>
    </r>
    <r>
      <rPr>
        <sz val="9"/>
        <rFont val="Times New Roman"/>
        <family val="1"/>
        <charset val="204"/>
      </rPr>
      <t>, действующего на основании Устава с другой стороны, заключили настоящий Договор о нижеследующем:</t>
    </r>
  </si>
  <si>
    <t>Предоставить документы, необходимые для выполнения оценки.</t>
  </si>
  <si>
    <t xml:space="preserve">Определить стоимость Объекта и предоставить Отчет об оценке в соответствии с требованиями Федерального закона об оценочной деятельности в РФ№135-ФЗ от 29.07.1998 г. и Федеральных стандартов оценки: ФСО №1, ФСО №2 и ФСО №3. </t>
  </si>
  <si>
    <t xml:space="preserve">5.3. Сведения о страховании профессиональной ответственности Оценщика: </t>
  </si>
  <si>
    <t>ДОГОВОР №</t>
  </si>
  <si>
    <t>АКТ сдачи-приемки работ №</t>
  </si>
  <si>
    <t>Мы, нижеподписавшиеся:</t>
  </si>
  <si>
    <t>Представитель Заказчика:</t>
  </si>
  <si>
    <t>Представитель Исполнителя:</t>
  </si>
  <si>
    <t>составили настотящий акт в том, что Исполнителем в соответсвии с условиями договора</t>
  </si>
  <si>
    <t>Заказчиком произведена оплата услуг по вышеуказанному договору в полном объеме.</t>
  </si>
  <si>
    <t>Генеральный директор ООО "Таксатор":</t>
  </si>
  <si>
    <t>календарных дн.</t>
  </si>
  <si>
    <t>НП «СРО «НКСО» г. Москва.</t>
  </si>
  <si>
    <t>Оценщик</t>
  </si>
  <si>
    <t>Данные полиса</t>
  </si>
  <si>
    <t>Доценко Ирина Анатольевна</t>
  </si>
  <si>
    <t>Пол заказчика ("м" или "ж")</t>
  </si>
  <si>
    <t>Обращение</t>
  </si>
  <si>
    <t>Дата акта</t>
  </si>
  <si>
    <t>генеральный директор ООО "Таксатор" - Фадеев Владимир Петрович</t>
  </si>
  <si>
    <t>в срок и надлежащим образом оказаны услуги по оценке стоимости имущества.</t>
  </si>
  <si>
    <t>3.1.Стоимость услуг по договору составляет:</t>
  </si>
  <si>
    <t>6.1. Стороны примут все меры по разрешению возникших споров по настоящему договору путем переговоров между собой. В случае не достижения соглашения, споры рассматриваются в установленном законом порядке.</t>
  </si>
  <si>
    <t>6.2. Обеспечение имущественной ответственности при осуществлении оценочной деятельности Оценщиком и Исполнителем осуществляется в соответствии со Статьей 24.6 Федерального закона от 29 июля 1998 г. N 135-ФЗ "Об оценочной деятельности в Российской Федерации".</t>
  </si>
  <si>
    <r>
      <t xml:space="preserve">6.3. </t>
    </r>
    <r>
      <rPr>
        <sz val="9"/>
        <color indexed="8"/>
        <rFont val="Times New Roman"/>
        <family val="1"/>
        <charset val="204"/>
      </rPr>
      <t>Исполнитель информировал Заказчика о требованиях законодательства РФ к субъектам оценочной деятельности, требованиях к договору об оценке и отчету об оценке.</t>
    </r>
  </si>
  <si>
    <t>организация</t>
  </si>
  <si>
    <t xml:space="preserve">КВИТАНЦИЯ </t>
  </si>
  <si>
    <t>к приходному кассовому ордеру №</t>
  </si>
  <si>
    <t xml:space="preserve">от </t>
  </si>
  <si>
    <t>Принято от</t>
  </si>
  <si>
    <t>Основание:</t>
  </si>
  <si>
    <t>руб.</t>
  </si>
  <si>
    <t>00</t>
  </si>
  <si>
    <t>коп.</t>
  </si>
  <si>
    <t>цифрами</t>
  </si>
  <si>
    <t>прописью</t>
  </si>
  <si>
    <t>==================================================</t>
  </si>
  <si>
    <t>============================</t>
  </si>
  <si>
    <t>В том числе</t>
  </si>
  <si>
    <t xml:space="preserve">           М.П. (штампа) </t>
  </si>
  <si>
    <t>НДС не облагается</t>
  </si>
  <si>
    <t xml:space="preserve">Главный бухгалтер         </t>
  </si>
  <si>
    <t xml:space="preserve">            </t>
  </si>
  <si>
    <t xml:space="preserve">подпись     </t>
  </si>
  <si>
    <t xml:space="preserve">расшифровка подписи </t>
  </si>
  <si>
    <t xml:space="preserve">Кассир              </t>
  </si>
  <si>
    <t xml:space="preserve">                                                </t>
  </si>
  <si>
    <t>подпись</t>
  </si>
  <si>
    <t>расшифровка подписи</t>
  </si>
  <si>
    <t>ООО "Таксатор"</t>
  </si>
  <si>
    <t xml:space="preserve">договор на оценку </t>
  </si>
  <si>
    <t>Заказчик Отчета - покупатель оцениваемой квартиры.</t>
  </si>
  <si>
    <t>1.1.Заказчик поручает, а Исполнитель принимает на себя обязанность произвести оценку стоимости жилого помещения, именуемого в дальнейшем Объект оценки.</t>
  </si>
  <si>
    <t>Расчет рыночной стоимости Объекта производится с допущением того, что Объект не имеет ограничения права, не заложен и не находится в аресте.</t>
  </si>
  <si>
    <t>определения залоговой стоимости при кредитовании</t>
  </si>
  <si>
    <t>1-н</t>
  </si>
  <si>
    <t>Полис №49915/776/01390/2 от 10.02.2012г. выдан ОАО «АльфаСтрахование». Срок действия - по 28 февраля 2013 г. Страховая сумма – 3 млн. руб.</t>
  </si>
  <si>
    <t>Полис №49915/776/01007/3 от 01.03.2013 г. выдан ОАО «АльфаСтрахование». Срок действия – по 28 февраля 2014 г. Страховая сумма – 3 млн.руб.</t>
  </si>
  <si>
    <t>м</t>
  </si>
  <si>
    <t>424/2013-К</t>
  </si>
  <si>
    <t>10.07.2013 г.</t>
  </si>
  <si>
    <t>Леонов Александр Юрьевич</t>
  </si>
  <si>
    <t>жилая трехкомнатная квартира по адресу: Республика Татарстан, г. Набережные Челны, проспект Чулман, д.65/70, кв.231 (12/06)</t>
  </si>
  <si>
    <t>10 июля 2013 г.</t>
  </si>
  <si>
    <t>(Две тысячи пятьсот) рублей</t>
  </si>
  <si>
    <t>РФ, РТ, г.Набережные Челны, ул. Татарстан, д.24, кв.171</t>
  </si>
  <si>
    <t>паспорт: 92 07 №038432, выдан 10.07.2007 г. Отделением в Центральном р-не ОУФМС России по Республике Татарстан в гор. Набережные Челны</t>
  </si>
  <si>
    <t>Леонов А.Ю.</t>
  </si>
  <si>
    <r>
      <t>Собственник Объекта -</t>
    </r>
    <r>
      <rPr>
        <sz val="12"/>
        <rFont val="Times New Roman"/>
        <family val="1"/>
        <charset val="204"/>
      </rPr>
      <t xml:space="preserve"> Малокость М.Ф., Малокость А.Ф., Малокость С.А., Малокость Ф.Л.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</si>
</sst>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92" formatCode="0.0"/>
  </numFmts>
  <fonts count="22" x14ac:knownFonts="1">
    <font>
      <sz val="10"/>
      <name val="Arial"/>
    </font>
    <font>
      <sz val="10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Arial Cyr"/>
      <family val="2"/>
      <charset val="204"/>
    </font>
    <font>
      <b/>
      <sz val="10"/>
      <name val="Arial Cyr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b/>
      <sz val="9"/>
      <name val="Times New Roman"/>
      <family val="1"/>
      <charset val="204"/>
    </font>
    <font>
      <sz val="9"/>
      <name val="Arial"/>
      <family val="2"/>
      <charset val="204"/>
    </font>
    <font>
      <sz val="9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indexed="8"/>
      <name val="Arial"/>
      <family val="2"/>
      <charset val="204"/>
    </font>
    <font>
      <b/>
      <sz val="9"/>
      <name val="Arial"/>
      <family val="2"/>
      <charset val="204"/>
    </font>
    <font>
      <sz val="12"/>
      <color indexed="10"/>
      <name val="Times New Roman"/>
      <family val="1"/>
      <charset val="204"/>
    </font>
    <font>
      <sz val="7"/>
      <color indexed="8"/>
      <name val="Arial Cyr"/>
      <family val="2"/>
      <charset val="204"/>
    </font>
    <font>
      <sz val="7"/>
      <name val="Arial Cyr"/>
      <family val="2"/>
      <charset val="204"/>
    </font>
    <font>
      <sz val="12"/>
      <name val="Arial Cyr"/>
      <family val="2"/>
      <charset val="204"/>
    </font>
    <font>
      <sz val="8"/>
      <color indexed="8"/>
      <name val="Arial Cyr"/>
      <family val="2"/>
      <charset val="204"/>
    </font>
    <font>
      <b/>
      <sz val="8"/>
      <name val="Arial Cyr"/>
      <charset val="204"/>
    </font>
    <font>
      <sz val="8"/>
      <name val="Arial Cyr"/>
      <family val="2"/>
      <charset val="204"/>
    </font>
    <font>
      <b/>
      <sz val="8"/>
      <color indexed="8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2" fillId="2" borderId="0" xfId="0" applyFont="1" applyFill="1" applyBorder="1"/>
    <xf numFmtId="0" fontId="2" fillId="2" borderId="0" xfId="0" applyFont="1" applyFill="1"/>
    <xf numFmtId="0" fontId="2" fillId="3" borderId="0" xfId="0" applyFont="1" applyFill="1" applyBorder="1"/>
    <xf numFmtId="0" fontId="8" fillId="0" borderId="0" xfId="0" applyFont="1" applyAlignment="1">
      <alignment horizontal="right"/>
    </xf>
    <xf numFmtId="49" fontId="8" fillId="0" borderId="0" xfId="0" applyNumberFormat="1" applyFont="1"/>
    <xf numFmtId="0" fontId="9" fillId="0" borderId="0" xfId="0" applyFont="1"/>
    <xf numFmtId="0" fontId="10" fillId="0" borderId="0" xfId="0" applyFont="1" applyAlignment="1"/>
    <xf numFmtId="0" fontId="10" fillId="0" borderId="0" xfId="0" applyFont="1"/>
    <xf numFmtId="0" fontId="12" fillId="0" borderId="0" xfId="0" applyFont="1" applyAlignment="1"/>
    <xf numFmtId="0" fontId="10" fillId="0" borderId="0" xfId="0" applyFont="1" applyAlignment="1">
      <alignment horizontal="justify"/>
    </xf>
    <xf numFmtId="0" fontId="10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vertical="top" wrapText="1"/>
    </xf>
    <xf numFmtId="14" fontId="10" fillId="0" borderId="0" xfId="0" applyNumberFormat="1" applyFont="1" applyAlignment="1"/>
    <xf numFmtId="192" fontId="10" fillId="0" borderId="0" xfId="0" applyNumberFormat="1" applyFont="1" applyAlignment="1">
      <alignment horizontal="left"/>
    </xf>
    <xf numFmtId="0" fontId="8" fillId="0" borderId="0" xfId="0" applyFont="1" applyAlignment="1">
      <alignment vertical="top" wrapText="1"/>
    </xf>
    <xf numFmtId="14" fontId="10" fillId="0" borderId="0" xfId="0" applyNumberFormat="1" applyFont="1" applyAlignment="1">
      <alignment vertical="top" wrapText="1"/>
    </xf>
    <xf numFmtId="0" fontId="10" fillId="0" borderId="0" xfId="0" applyFont="1" applyAlignment="1">
      <alignment horizontal="center"/>
    </xf>
    <xf numFmtId="0" fontId="13" fillId="0" borderId="0" xfId="0" applyFont="1"/>
    <xf numFmtId="0" fontId="10" fillId="0" borderId="0" xfId="0" applyFont="1" applyAlignment="1">
      <alignment horizontal="left" indent="1"/>
    </xf>
    <xf numFmtId="0" fontId="10" fillId="0" borderId="1" xfId="0" applyFont="1" applyBorder="1"/>
    <xf numFmtId="0" fontId="8" fillId="0" borderId="0" xfId="0" applyFont="1"/>
    <xf numFmtId="0" fontId="8" fillId="0" borderId="1" xfId="0" applyFont="1" applyBorder="1" applyAlignment="1">
      <alignment vertical="top" wrapText="1"/>
    </xf>
    <xf numFmtId="0" fontId="6" fillId="0" borderId="2" xfId="0" applyFont="1" applyBorder="1" applyAlignment="1">
      <alignment horizontal="left" wrapText="1"/>
    </xf>
    <xf numFmtId="0" fontId="5" fillId="0" borderId="2" xfId="0" applyFont="1" applyBorder="1" applyAlignment="1">
      <alignment wrapText="1"/>
    </xf>
    <xf numFmtId="49" fontId="6" fillId="0" borderId="2" xfId="0" applyNumberFormat="1" applyFont="1" applyBorder="1" applyAlignment="1">
      <alignment horizontal="left" wrapText="1"/>
    </xf>
    <xf numFmtId="14" fontId="6" fillId="0" borderId="2" xfId="0" applyNumberFormat="1" applyFont="1" applyBorder="1" applyAlignment="1">
      <alignment horizontal="left" wrapText="1"/>
    </xf>
    <xf numFmtId="0" fontId="6" fillId="0" borderId="0" xfId="0" applyFont="1" applyAlignment="1">
      <alignment wrapText="1"/>
    </xf>
    <xf numFmtId="0" fontId="6" fillId="0" borderId="2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5" fillId="4" borderId="2" xfId="0" applyFont="1" applyFill="1" applyBorder="1" applyAlignment="1">
      <alignment wrapText="1"/>
    </xf>
    <xf numFmtId="0" fontId="6" fillId="4" borderId="2" xfId="0" applyFont="1" applyFill="1" applyBorder="1" applyAlignment="1">
      <alignment horizontal="left" wrapText="1"/>
    </xf>
    <xf numFmtId="0" fontId="6" fillId="4" borderId="2" xfId="0" applyFont="1" applyFill="1" applyBorder="1" applyAlignment="1">
      <alignment wrapText="1"/>
    </xf>
    <xf numFmtId="0" fontId="15" fillId="3" borderId="3" xfId="0" applyFont="1" applyFill="1" applyBorder="1" applyAlignment="1">
      <alignment horizontal="center" vertical="top"/>
    </xf>
    <xf numFmtId="0" fontId="2" fillId="3" borderId="4" xfId="0" applyFont="1" applyFill="1" applyBorder="1" applyAlignment="1"/>
    <xf numFmtId="0" fontId="15" fillId="3" borderId="0" xfId="0" applyFont="1" applyFill="1" applyBorder="1" applyAlignment="1">
      <alignment horizontal="center" vertical="top"/>
    </xf>
    <xf numFmtId="0" fontId="16" fillId="3" borderId="0" xfId="0" applyFont="1" applyFill="1" applyBorder="1" applyAlignment="1">
      <alignment horizontal="center" vertical="top"/>
    </xf>
    <xf numFmtId="0" fontId="2" fillId="3" borderId="5" xfId="0" applyFont="1" applyFill="1" applyBorder="1" applyAlignment="1"/>
    <xf numFmtId="0" fontId="20" fillId="3" borderId="0" xfId="0" applyFont="1" applyFill="1" applyBorder="1" applyAlignment="1">
      <alignment horizontal="right"/>
    </xf>
    <xf numFmtId="0" fontId="20" fillId="3" borderId="0" xfId="0" applyFont="1" applyFill="1" applyBorder="1" applyAlignment="1"/>
    <xf numFmtId="0" fontId="2" fillId="3" borderId="0" xfId="0" applyFont="1" applyFill="1" applyBorder="1" applyAlignment="1"/>
    <xf numFmtId="0" fontId="17" fillId="3" borderId="0" xfId="0" applyFont="1" applyFill="1" applyBorder="1" applyAlignment="1"/>
    <xf numFmtId="0" fontId="20" fillId="3" borderId="0" xfId="0" applyFont="1" applyFill="1" applyBorder="1" applyAlignment="1">
      <alignment horizontal="left"/>
    </xf>
    <xf numFmtId="0" fontId="18" fillId="3" borderId="0" xfId="0" applyFont="1" applyFill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18" fillId="3" borderId="0" xfId="0" applyFont="1" applyFill="1" applyBorder="1" applyAlignment="1">
      <alignment horizontal="justify"/>
    </xf>
    <xf numFmtId="0" fontId="18" fillId="3" borderId="0" xfId="0" applyFont="1" applyFill="1" applyBorder="1" applyAlignment="1">
      <alignment horizontal="center"/>
    </xf>
    <xf numFmtId="49" fontId="21" fillId="3" borderId="1" xfId="0" applyNumberFormat="1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/>
    </xf>
    <xf numFmtId="49" fontId="19" fillId="3" borderId="6" xfId="0" applyNumberFormat="1" applyFont="1" applyFill="1" applyBorder="1" applyAlignment="1">
      <alignment horizontal="center"/>
    </xf>
    <xf numFmtId="0" fontId="17" fillId="3" borderId="0" xfId="0" applyFont="1" applyFill="1" applyBorder="1" applyAlignment="1">
      <alignment horizontal="justify"/>
    </xf>
    <xf numFmtId="0" fontId="15" fillId="3" borderId="0" xfId="0" applyFont="1" applyFill="1" applyBorder="1" applyAlignment="1">
      <alignment horizontal="justify"/>
    </xf>
    <xf numFmtId="0" fontId="16" fillId="3" borderId="0" xfId="0" applyFont="1" applyFill="1" applyBorder="1" applyAlignment="1">
      <alignment horizontal="center"/>
    </xf>
    <xf numFmtId="0" fontId="18" fillId="3" borderId="0" xfId="0" applyFont="1" applyFill="1" applyBorder="1"/>
    <xf numFmtId="0" fontId="16" fillId="3" borderId="0" xfId="0" applyFont="1" applyFill="1" applyBorder="1" applyAlignment="1">
      <alignment horizontal="left"/>
    </xf>
    <xf numFmtId="0" fontId="18" fillId="3" borderId="0" xfId="0" applyFont="1" applyFill="1" applyBorder="1" applyAlignment="1">
      <alignment horizontal="left" wrapText="1"/>
    </xf>
    <xf numFmtId="0" fontId="18" fillId="3" borderId="1" xfId="0" applyFont="1" applyFill="1" applyBorder="1" applyAlignment="1">
      <alignment horizontal="justify"/>
    </xf>
    <xf numFmtId="0" fontId="16" fillId="3" borderId="0" xfId="0" applyFont="1" applyFill="1" applyBorder="1" applyAlignment="1">
      <alignment horizontal="left" indent="9"/>
    </xf>
    <xf numFmtId="0" fontId="2" fillId="3" borderId="0" xfId="0" applyFont="1" applyFill="1" applyBorder="1" applyAlignment="1">
      <alignment vertical="top"/>
    </xf>
    <xf numFmtId="0" fontId="15" fillId="3" borderId="5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2" fillId="3" borderId="5" xfId="0" applyFont="1" applyFill="1" applyBorder="1"/>
    <xf numFmtId="0" fontId="2" fillId="3" borderId="1" xfId="0" applyFont="1" applyFill="1" applyBorder="1"/>
    <xf numFmtId="0" fontId="15" fillId="3" borderId="1" xfId="0" applyFont="1" applyFill="1" applyBorder="1" applyAlignment="1">
      <alignment horizontal="center" vertical="top"/>
    </xf>
    <xf numFmtId="0" fontId="2" fillId="3" borderId="7" xfId="0" applyFont="1" applyFill="1" applyBorder="1"/>
    <xf numFmtId="1" fontId="21" fillId="3" borderId="1" xfId="0" applyNumberFormat="1" applyFont="1" applyFill="1" applyBorder="1" applyAlignment="1">
      <alignment horizontal="center"/>
    </xf>
    <xf numFmtId="0" fontId="19" fillId="3" borderId="6" xfId="0" applyFont="1" applyFill="1" applyBorder="1" applyAlignment="1">
      <alignment horizontal="left"/>
    </xf>
    <xf numFmtId="49" fontId="19" fillId="3" borderId="6" xfId="0" applyNumberFormat="1" applyFont="1" applyFill="1" applyBorder="1" applyAlignment="1">
      <alignment horizontal="left"/>
    </xf>
    <xf numFmtId="0" fontId="19" fillId="3" borderId="6" xfId="0" applyFont="1" applyFill="1" applyBorder="1" applyAlignment="1">
      <alignment horizontal="right"/>
    </xf>
    <xf numFmtId="0" fontId="21" fillId="3" borderId="1" xfId="0" applyFont="1" applyFill="1" applyBorder="1" applyAlignment="1">
      <alignment horizontal="right"/>
    </xf>
    <xf numFmtId="14" fontId="21" fillId="3" borderId="1" xfId="0" applyNumberFormat="1" applyFont="1" applyFill="1" applyBorder="1" applyAlignment="1">
      <alignment horizontal="left"/>
    </xf>
    <xf numFmtId="14" fontId="6" fillId="4" borderId="2" xfId="0" applyNumberFormat="1" applyFont="1" applyFill="1" applyBorder="1" applyAlignment="1">
      <alignment horizontal="left" wrapText="1"/>
    </xf>
    <xf numFmtId="0" fontId="14" fillId="0" borderId="2" xfId="0" applyFont="1" applyBorder="1" applyAlignment="1">
      <alignment vertical="top" wrapText="1"/>
    </xf>
    <xf numFmtId="4" fontId="6" fillId="2" borderId="2" xfId="0" applyNumberFormat="1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justify"/>
    </xf>
    <xf numFmtId="0" fontId="9" fillId="0" borderId="0" xfId="0" applyFont="1" applyAlignment="1"/>
    <xf numFmtId="0" fontId="10" fillId="0" borderId="0" xfId="0" applyFont="1" applyAlignment="1">
      <alignment horizontal="justify" wrapText="1"/>
    </xf>
    <xf numFmtId="0" fontId="10" fillId="0" borderId="0" xfId="0" applyFont="1" applyAlignment="1">
      <alignment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/>
    </xf>
    <xf numFmtId="0" fontId="10" fillId="0" borderId="0" xfId="0" applyFont="1" applyAlignment="1"/>
    <xf numFmtId="14" fontId="10" fillId="0" borderId="0" xfId="0" applyNumberFormat="1" applyFont="1" applyAlignment="1"/>
    <xf numFmtId="0" fontId="9" fillId="0" borderId="0" xfId="0" applyFont="1" applyAlignment="1">
      <alignment vertical="top" wrapText="1"/>
    </xf>
    <xf numFmtId="0" fontId="8" fillId="0" borderId="0" xfId="0" applyFont="1" applyAlignment="1"/>
    <xf numFmtId="0" fontId="13" fillId="0" borderId="0" xfId="0" applyFont="1" applyAlignment="1"/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 applyAlignment="1">
      <alignment wrapText="1"/>
    </xf>
    <xf numFmtId="0" fontId="0" fillId="0" borderId="0" xfId="0" applyAlignment="1">
      <alignment wrapText="1"/>
    </xf>
    <xf numFmtId="14" fontId="8" fillId="0" borderId="0" xfId="0" applyNumberFormat="1" applyFont="1" applyAlignment="1">
      <alignment wrapText="1"/>
    </xf>
    <xf numFmtId="0" fontId="13" fillId="0" borderId="0" xfId="0" applyFont="1" applyAlignment="1">
      <alignment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Font="1" applyAlignment="1"/>
    <xf numFmtId="49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1" xfId="0" applyFont="1" applyBorder="1" applyAlignment="1"/>
    <xf numFmtId="0" fontId="10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49" fontId="8" fillId="0" borderId="0" xfId="0" applyNumberFormat="1" applyFont="1" applyAlignment="1"/>
    <xf numFmtId="0" fontId="8" fillId="0" borderId="3" xfId="0" applyFont="1" applyBorder="1" applyAlignment="1"/>
    <xf numFmtId="0" fontId="8" fillId="0" borderId="1" xfId="0" applyFont="1" applyBorder="1" applyAlignment="1">
      <alignment vertical="top" wrapText="1"/>
    </xf>
    <xf numFmtId="0" fontId="9" fillId="0" borderId="1" xfId="0" applyFont="1" applyBorder="1" applyAlignment="1"/>
    <xf numFmtId="14" fontId="10" fillId="0" borderId="0" xfId="0" applyNumberFormat="1" applyFont="1" applyAlignment="1">
      <alignment vertical="top" wrapText="1"/>
    </xf>
    <xf numFmtId="49" fontId="18" fillId="3" borderId="1" xfId="0" applyNumberFormat="1" applyFont="1" applyFill="1" applyBorder="1" applyAlignment="1">
      <alignment horizontal="center"/>
    </xf>
    <xf numFmtId="0" fontId="0" fillId="0" borderId="1" xfId="0" applyBorder="1" applyAlignment="1"/>
    <xf numFmtId="0" fontId="21" fillId="3" borderId="6" xfId="0" applyFont="1" applyFill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21" fillId="3" borderId="1" xfId="0" applyFont="1" applyFill="1" applyBorder="1" applyAlignment="1">
      <alignment horizontal="center"/>
    </xf>
    <xf numFmtId="14" fontId="19" fillId="3" borderId="1" xfId="0" applyNumberFormat="1" applyFont="1" applyFill="1" applyBorder="1" applyAlignment="1">
      <alignment horizontal="center"/>
    </xf>
    <xf numFmtId="0" fontId="19" fillId="3" borderId="1" xfId="0" applyFont="1" applyFill="1" applyBorder="1" applyAlignment="1">
      <alignment horizontal="left"/>
    </xf>
    <xf numFmtId="0" fontId="16" fillId="3" borderId="3" xfId="0" applyFont="1" applyFill="1" applyBorder="1" applyAlignment="1">
      <alignment horizontal="center" vertical="top"/>
    </xf>
    <xf numFmtId="0" fontId="4" fillId="3" borderId="6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center"/>
    </xf>
    <xf numFmtId="14" fontId="21" fillId="3" borderId="1" xfId="0" applyNumberFormat="1" applyFont="1" applyFill="1" applyBorder="1" applyAlignment="1">
      <alignment horizontal="center"/>
    </xf>
    <xf numFmtId="0" fontId="21" fillId="3" borderId="1" xfId="0" quotePrefix="1" applyFont="1" applyFill="1" applyBorder="1" applyAlignment="1">
      <alignment horizontal="left"/>
    </xf>
    <xf numFmtId="0" fontId="21" fillId="3" borderId="6" xfId="0" quotePrefix="1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1058;&#1072;&#1090;&#1100;&#1103;&#1085;&#1072;\&#1088;&#1077;&#1075;&#1080;&#1089;&#1090;&#1088;&#1072;&#1094;&#1080;&#1103;%202013\&#1044;&#1086;&#1075;&#1086;&#1074;&#1086;&#1088;&#1072;\&#1052;&#1086;&#1080;%20&#1076;&#1086;&#1082;&#1091;&#1084;&#1077;&#1085;&#1090;&#1099;\&#1050;&#1080;&#1086;&#1089;&#1082;\&#1059;&#1063;&#1045;&#1058;\2010%20&#1075;\12%20-%20&#1044;&#1077;&#1082;&#1072;&#1073;&#1088;&#110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чет"/>
      <sheetName val="Поставщики"/>
      <sheetName val="Ревизия"/>
      <sheetName val="Список поставщиков"/>
      <sheetName val="Агат"/>
    </sheetNames>
    <sheetDataSet>
      <sheetData sheetId="0"/>
      <sheetData sheetId="1"/>
      <sheetData sheetId="2"/>
      <sheetData sheetId="3">
        <row r="1">
          <cell r="A1" t="str">
            <v>Хлеб</v>
          </cell>
        </row>
        <row r="2">
          <cell r="A2" t="str">
            <v>Молоко</v>
          </cell>
        </row>
        <row r="3">
          <cell r="A3" t="str">
            <v>Осипов</v>
          </cell>
        </row>
        <row r="4">
          <cell r="A4" t="str">
            <v>Солодов</v>
          </cell>
        </row>
        <row r="5">
          <cell r="A5" t="str">
            <v>Зиятдинов</v>
          </cell>
        </row>
        <row r="6">
          <cell r="A6" t="str">
            <v>Юбилейное</v>
          </cell>
        </row>
        <row r="7">
          <cell r="A7" t="str">
            <v>Хабибуллин</v>
          </cell>
        </row>
        <row r="8">
          <cell r="A8" t="str">
            <v>Гермес</v>
          </cell>
        </row>
        <row r="9">
          <cell r="A9" t="str">
            <v>Сыр</v>
          </cell>
        </row>
        <row r="10">
          <cell r="A10" t="str">
            <v>Мамадыш</v>
          </cell>
        </row>
        <row r="11">
          <cell r="A11" t="str">
            <v>Оризон</v>
          </cell>
        </row>
        <row r="12">
          <cell r="A12" t="str">
            <v>Мороженое</v>
          </cell>
        </row>
        <row r="13">
          <cell r="A13" t="str">
            <v>Рико-Трейд</v>
          </cell>
        </row>
        <row r="14">
          <cell r="A14" t="str">
            <v>Елабуга</v>
          </cell>
        </row>
        <row r="15">
          <cell r="A15" t="str">
            <v>Мензелинская</v>
          </cell>
        </row>
        <row r="16">
          <cell r="A16" t="str">
            <v>Два брата</v>
          </cell>
        </row>
        <row r="17">
          <cell r="A17" t="str">
            <v>Агат</v>
          </cell>
        </row>
        <row r="18">
          <cell r="A18" t="str">
            <v>Кэшн-Кэри</v>
          </cell>
        </row>
        <row r="19">
          <cell r="A19" t="str">
            <v>Шагапов</v>
          </cell>
        </row>
        <row r="20">
          <cell r="A20" t="str">
            <v>Ува</v>
          </cell>
        </row>
        <row r="21">
          <cell r="A21" t="str">
            <v>Деев</v>
          </cell>
        </row>
        <row r="22">
          <cell r="A22" t="str">
            <v>Тольятти</v>
          </cell>
        </row>
        <row r="23">
          <cell r="A23" t="str">
            <v>Квас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workbookViewId="0">
      <selection activeCell="B8" sqref="B8"/>
    </sheetView>
  </sheetViews>
  <sheetFormatPr defaultRowHeight="15.75" x14ac:dyDescent="0.25"/>
  <cols>
    <col min="1" max="1" width="36.85546875" style="28" customWidth="1"/>
    <col min="2" max="2" width="84.85546875" style="28" customWidth="1"/>
  </cols>
  <sheetData>
    <row r="1" spans="1:2" x14ac:dyDescent="0.25">
      <c r="A1" s="25" t="s">
        <v>33</v>
      </c>
      <c r="B1" s="26" t="s">
        <v>112</v>
      </c>
    </row>
    <row r="2" spans="1:2" x14ac:dyDescent="0.25">
      <c r="A2" s="25" t="s">
        <v>34</v>
      </c>
      <c r="B2" s="27" t="s">
        <v>113</v>
      </c>
    </row>
    <row r="3" spans="1:2" x14ac:dyDescent="0.25">
      <c r="A3" s="25" t="s">
        <v>35</v>
      </c>
      <c r="B3" s="29" t="s">
        <v>114</v>
      </c>
    </row>
    <row r="4" spans="1:2" x14ac:dyDescent="0.25">
      <c r="A4" s="25" t="s">
        <v>69</v>
      </c>
      <c r="B4" s="29" t="s">
        <v>111</v>
      </c>
    </row>
    <row r="5" spans="1:2" x14ac:dyDescent="0.25">
      <c r="A5" s="31" t="s">
        <v>70</v>
      </c>
      <c r="B5" s="33" t="str">
        <f>IF(B4="м","именуемый","именуемая")</f>
        <v>именуемый</v>
      </c>
    </row>
    <row r="6" spans="1:2" ht="31.5" x14ac:dyDescent="0.25">
      <c r="A6" s="25" t="s">
        <v>36</v>
      </c>
      <c r="B6" s="24" t="s">
        <v>115</v>
      </c>
    </row>
    <row r="7" spans="1:2" ht="40.5" customHeight="1" x14ac:dyDescent="0.25">
      <c r="A7" s="25" t="s">
        <v>37</v>
      </c>
      <c r="B7" s="73" t="s">
        <v>121</v>
      </c>
    </row>
    <row r="8" spans="1:2" x14ac:dyDescent="0.25">
      <c r="A8" s="25" t="s">
        <v>38</v>
      </c>
      <c r="B8" s="29" t="s">
        <v>116</v>
      </c>
    </row>
    <row r="9" spans="1:2" x14ac:dyDescent="0.25">
      <c r="A9" s="25" t="s">
        <v>39</v>
      </c>
      <c r="B9" s="24" t="s">
        <v>107</v>
      </c>
    </row>
    <row r="10" spans="1:2" x14ac:dyDescent="0.25">
      <c r="A10" s="25" t="s">
        <v>40</v>
      </c>
      <c r="B10" s="24" t="s">
        <v>108</v>
      </c>
    </row>
    <row r="11" spans="1:2" x14ac:dyDescent="0.25">
      <c r="A11" s="25" t="s">
        <v>41</v>
      </c>
      <c r="B11" s="74">
        <v>2500</v>
      </c>
    </row>
    <row r="12" spans="1:2" x14ac:dyDescent="0.25">
      <c r="A12" s="25" t="s">
        <v>45</v>
      </c>
      <c r="B12" s="75" t="s">
        <v>117</v>
      </c>
    </row>
    <row r="13" spans="1:2" x14ac:dyDescent="0.25">
      <c r="A13" s="25" t="s">
        <v>42</v>
      </c>
      <c r="B13" s="29" t="s">
        <v>118</v>
      </c>
    </row>
    <row r="14" spans="1:2" ht="45" customHeight="1" x14ac:dyDescent="0.25">
      <c r="A14" s="25" t="s">
        <v>43</v>
      </c>
      <c r="B14" s="24" t="s">
        <v>119</v>
      </c>
    </row>
    <row r="15" spans="1:2" x14ac:dyDescent="0.25">
      <c r="A15" s="25" t="s">
        <v>44</v>
      </c>
      <c r="B15" s="29" t="s">
        <v>120</v>
      </c>
    </row>
    <row r="16" spans="1:2" x14ac:dyDescent="0.25">
      <c r="A16" s="31" t="s">
        <v>71</v>
      </c>
      <c r="B16" s="72" t="str">
        <f>B2</f>
        <v>10.07.2013 г.</v>
      </c>
    </row>
    <row r="17" spans="1:2" x14ac:dyDescent="0.25">
      <c r="A17" s="25" t="s">
        <v>66</v>
      </c>
      <c r="B17" s="27" t="s">
        <v>20</v>
      </c>
    </row>
    <row r="18" spans="1:2" ht="33" customHeight="1" x14ac:dyDescent="0.25">
      <c r="A18" s="31" t="s">
        <v>67</v>
      </c>
      <c r="B18" s="32" t="str">
        <f>IF(B17="Фадеев Владимир Петрович",Список!B1,Список!B2)</f>
        <v>Полис №49915/776/01007/3 от 01.03.2013 г. выдан ОАО «АльфаСтрахование». Срок действия – по 28 февраля 2014 г. Страховая сумма – 3 млн.руб.</v>
      </c>
    </row>
  </sheetData>
  <phoneticPr fontId="0" type="noConversion"/>
  <dataValidations count="1">
    <dataValidation type="list" allowBlank="1" showInputMessage="1" showErrorMessage="1" sqref="B17">
      <formula1>Список</formula1>
    </dataValidation>
  </dataValidations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tabSelected="1" workbookViewId="0">
      <selection activeCell="B14" sqref="B14:K14"/>
    </sheetView>
  </sheetViews>
  <sheetFormatPr defaultRowHeight="12" x14ac:dyDescent="0.2"/>
  <cols>
    <col min="1" max="1" width="41.85546875" style="6" customWidth="1"/>
    <col min="2" max="2" width="7.5703125" style="6" customWidth="1"/>
    <col min="3" max="3" width="5" style="6" customWidth="1"/>
    <col min="4" max="4" width="4.42578125" style="6" customWidth="1"/>
    <col min="5" max="5" width="6.7109375" style="6" customWidth="1"/>
    <col min="6" max="6" width="4.5703125" style="6" customWidth="1"/>
    <col min="7" max="7" width="4.140625" style="6" customWidth="1"/>
    <col min="8" max="8" width="4.42578125" style="6" customWidth="1"/>
    <col min="9" max="9" width="9.140625" style="6" hidden="1" customWidth="1"/>
    <col min="10" max="10" width="3.5703125" style="6" customWidth="1"/>
    <col min="11" max="11" width="13.42578125" style="6" customWidth="1"/>
    <col min="12" max="12" width="2.5703125" style="6" hidden="1" customWidth="1"/>
    <col min="13" max="16384" width="9.140625" style="6"/>
  </cols>
  <sheetData>
    <row r="1" spans="1:12" x14ac:dyDescent="0.2">
      <c r="A1" s="89" t="s">
        <v>56</v>
      </c>
      <c r="B1" s="90"/>
      <c r="C1" s="90"/>
      <c r="D1" s="5" t="str">
        <f>Данные!B1</f>
        <v>424/2013-К</v>
      </c>
    </row>
    <row r="2" spans="1:12" s="19" customFormat="1" x14ac:dyDescent="0.2">
      <c r="A2" s="87" t="s">
        <v>0</v>
      </c>
      <c r="B2" s="88"/>
      <c r="C2" s="88"/>
      <c r="D2" s="88"/>
      <c r="E2" s="88"/>
      <c r="F2" s="88"/>
      <c r="G2" s="88"/>
      <c r="H2" s="88"/>
      <c r="I2" s="88"/>
      <c r="J2" s="93" t="str">
        <f>Данные!B2</f>
        <v>10.07.2013 г.</v>
      </c>
      <c r="K2" s="94"/>
      <c r="L2" s="94"/>
    </row>
    <row r="3" spans="1:12" ht="6" customHeight="1" x14ac:dyDescent="0.2">
      <c r="A3" s="8"/>
    </row>
    <row r="4" spans="1:12" x14ac:dyDescent="0.2">
      <c r="A4" s="4" t="str">
        <f>Данные!B3</f>
        <v>Леонов Александр Юрьевич</v>
      </c>
      <c r="B4" s="95" t="str">
        <f>Данные!B5</f>
        <v>именуемый</v>
      </c>
      <c r="C4" s="95"/>
      <c r="D4" s="96" t="s">
        <v>49</v>
      </c>
      <c r="E4" s="96"/>
      <c r="F4" s="96"/>
      <c r="G4" s="96"/>
      <c r="H4" s="96"/>
      <c r="I4" s="96"/>
      <c r="J4" s="96"/>
      <c r="K4" s="96"/>
      <c r="L4" s="9"/>
    </row>
    <row r="5" spans="1:12" ht="24.75" customHeight="1" x14ac:dyDescent="0.2">
      <c r="A5" s="78" t="s">
        <v>52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</row>
    <row r="6" spans="1:12" x14ac:dyDescent="0.2">
      <c r="A6" s="83" t="s">
        <v>1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spans="1:12" ht="25.5" customHeight="1" x14ac:dyDescent="0.2">
      <c r="A7" s="78" t="s">
        <v>105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 x14ac:dyDescent="0.2">
      <c r="A8" s="83" t="s">
        <v>2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spans="1:12" ht="24.75" customHeight="1" x14ac:dyDescent="0.2">
      <c r="A9" s="11" t="s">
        <v>8</v>
      </c>
      <c r="B9" s="100" t="str">
        <f>Данные!B6</f>
        <v>жилая трехкомнатная квартира по адресу: Республика Татарстан, г. Набережные Челны, проспект Чулман, д.65/70, кв.231 (12/06)</v>
      </c>
      <c r="C9" s="100"/>
      <c r="D9" s="100"/>
      <c r="E9" s="100"/>
      <c r="F9" s="100"/>
      <c r="G9" s="100"/>
      <c r="H9" s="100"/>
      <c r="I9" s="100"/>
      <c r="J9" s="100"/>
      <c r="K9" s="101"/>
    </row>
    <row r="10" spans="1:12" ht="12" customHeight="1" x14ac:dyDescent="0.2">
      <c r="A10" s="11" t="s">
        <v>9</v>
      </c>
      <c r="B10" s="100" t="str">
        <f>Данные!B7</f>
        <v>Собственник Объекта - Малокость М.Ф., Малокость А.Ф., Малокость С.А., Малокость Ф.Л.</v>
      </c>
      <c r="C10" s="100"/>
      <c r="D10" s="100"/>
      <c r="E10" s="100"/>
      <c r="F10" s="100"/>
      <c r="G10" s="100"/>
      <c r="H10" s="100"/>
      <c r="I10" s="100"/>
      <c r="J10" s="100"/>
      <c r="K10" s="100"/>
    </row>
    <row r="11" spans="1:12" x14ac:dyDescent="0.2">
      <c r="A11" s="11"/>
      <c r="B11" s="100"/>
      <c r="C11" s="100"/>
      <c r="D11" s="100"/>
      <c r="E11" s="100"/>
      <c r="F11" s="100"/>
      <c r="G11" s="100"/>
      <c r="H11" s="100"/>
      <c r="I11" s="100"/>
      <c r="J11" s="100"/>
      <c r="K11" s="100"/>
    </row>
    <row r="12" spans="1:12" ht="12.75" x14ac:dyDescent="0.2">
      <c r="A12" s="11"/>
      <c r="B12" s="81" t="s">
        <v>104</v>
      </c>
      <c r="C12" s="92"/>
      <c r="D12" s="92"/>
      <c r="E12" s="92"/>
      <c r="F12" s="92"/>
      <c r="G12" s="92"/>
      <c r="H12" s="92"/>
      <c r="I12" s="92"/>
      <c r="J12" s="92"/>
      <c r="K12" s="92"/>
    </row>
    <row r="13" spans="1:12" x14ac:dyDescent="0.2">
      <c r="A13" s="10" t="s">
        <v>10</v>
      </c>
      <c r="B13" s="81" t="s">
        <v>12</v>
      </c>
      <c r="C13" s="81"/>
      <c r="D13" s="81"/>
      <c r="E13" s="81"/>
      <c r="F13" s="81"/>
      <c r="G13" s="81"/>
      <c r="H13" s="81"/>
      <c r="I13" s="81"/>
      <c r="J13" s="81"/>
      <c r="K13" s="91"/>
    </row>
    <row r="14" spans="1:12" x14ac:dyDescent="0.2">
      <c r="A14" s="10" t="s">
        <v>11</v>
      </c>
      <c r="B14" s="81" t="s">
        <v>47</v>
      </c>
      <c r="C14" s="81"/>
      <c r="D14" s="81"/>
      <c r="E14" s="81"/>
      <c r="F14" s="81"/>
      <c r="G14" s="81"/>
      <c r="H14" s="81"/>
      <c r="I14" s="81"/>
      <c r="J14" s="81"/>
      <c r="K14" s="81"/>
    </row>
    <row r="15" spans="1:12" x14ac:dyDescent="0.2">
      <c r="A15" s="78" t="s">
        <v>15</v>
      </c>
      <c r="B15" s="84"/>
      <c r="C15" s="84"/>
      <c r="D15" s="84"/>
      <c r="E15" s="84"/>
      <c r="F15" s="84"/>
      <c r="G15" s="84"/>
      <c r="H15" s="84"/>
      <c r="I15" s="84"/>
      <c r="J15" s="84"/>
      <c r="K15" s="79"/>
    </row>
    <row r="16" spans="1:12" x14ac:dyDescent="0.2">
      <c r="A16" s="11" t="s">
        <v>46</v>
      </c>
      <c r="B16" s="76" t="str">
        <f>Данные!B9</f>
        <v>определения залоговой стоимости при кредитовании</v>
      </c>
      <c r="C16" s="76"/>
      <c r="D16" s="76"/>
      <c r="E16" s="76"/>
      <c r="F16" s="76"/>
      <c r="G16" s="76"/>
      <c r="H16" s="76"/>
      <c r="I16" s="76"/>
      <c r="J16" s="76"/>
      <c r="K16" s="86"/>
    </row>
    <row r="17" spans="1:11" s="8" customFormat="1" x14ac:dyDescent="0.2">
      <c r="A17" s="80" t="s">
        <v>14</v>
      </c>
      <c r="B17" s="81"/>
      <c r="C17" s="81"/>
      <c r="D17" s="81"/>
      <c r="E17" s="81"/>
      <c r="F17" s="81"/>
      <c r="G17" s="81"/>
      <c r="H17" s="81"/>
      <c r="I17" s="81"/>
      <c r="J17" s="81"/>
      <c r="K17" s="91"/>
    </row>
    <row r="18" spans="1:11" s="8" customFormat="1" x14ac:dyDescent="0.2">
      <c r="A18" s="10" t="s">
        <v>16</v>
      </c>
      <c r="B18" s="8" t="s">
        <v>13</v>
      </c>
      <c r="E18" s="85" t="str">
        <f>Данные!B8</f>
        <v>10 июля 2013 г.</v>
      </c>
      <c r="F18" s="84"/>
      <c r="G18" s="84"/>
      <c r="H18" s="84"/>
      <c r="I18" s="84"/>
      <c r="J18" s="84"/>
      <c r="K18" s="84"/>
    </row>
    <row r="19" spans="1:11" s="8" customFormat="1" x14ac:dyDescent="0.2">
      <c r="A19" s="10" t="s">
        <v>17</v>
      </c>
      <c r="B19" s="18" t="str">
        <f>Данные!B10</f>
        <v>1-н</v>
      </c>
      <c r="C19" s="8" t="s">
        <v>64</v>
      </c>
    </row>
    <row r="20" spans="1:11" s="8" customFormat="1" x14ac:dyDescent="0.2">
      <c r="A20" s="78" t="s">
        <v>18</v>
      </c>
      <c r="B20" s="84"/>
      <c r="C20" s="84"/>
      <c r="D20" s="84"/>
      <c r="E20" s="84"/>
      <c r="F20" s="84"/>
      <c r="G20" s="84"/>
      <c r="H20" s="84"/>
      <c r="I20" s="84"/>
      <c r="J20" s="84"/>
      <c r="K20" s="79"/>
    </row>
    <row r="21" spans="1:11" s="8" customFormat="1" ht="24.75" customHeight="1" x14ac:dyDescent="0.2">
      <c r="A21" s="80" t="s">
        <v>106</v>
      </c>
      <c r="B21" s="84"/>
      <c r="C21" s="84"/>
      <c r="D21" s="84"/>
      <c r="E21" s="84"/>
      <c r="F21" s="84"/>
      <c r="G21" s="84"/>
      <c r="H21" s="84"/>
      <c r="I21" s="84"/>
      <c r="J21" s="84"/>
      <c r="K21" s="79"/>
    </row>
    <row r="22" spans="1:11" s="8" customFormat="1" x14ac:dyDescent="0.2">
      <c r="A22" s="83" t="s">
        <v>3</v>
      </c>
      <c r="B22" s="79"/>
      <c r="C22" s="79"/>
      <c r="D22" s="79"/>
      <c r="E22" s="79"/>
      <c r="F22" s="79"/>
      <c r="G22" s="79"/>
      <c r="H22" s="79"/>
      <c r="I22" s="79"/>
      <c r="J22" s="79"/>
      <c r="K22" s="79"/>
    </row>
    <row r="23" spans="1:11" s="8" customFormat="1" x14ac:dyDescent="0.2">
      <c r="A23" s="10" t="s">
        <v>74</v>
      </c>
      <c r="B23" s="15">
        <f>Данные!B11</f>
        <v>2500</v>
      </c>
      <c r="C23" s="7" t="str">
        <f>Данные!B12</f>
        <v>(Две тысячи пятьсот) рублей</v>
      </c>
      <c r="D23" s="7"/>
      <c r="E23" s="7"/>
      <c r="F23" s="84" t="s">
        <v>32</v>
      </c>
      <c r="G23" s="84"/>
      <c r="H23" s="84"/>
      <c r="I23" s="84"/>
      <c r="J23" s="84"/>
      <c r="K23" s="84"/>
    </row>
    <row r="24" spans="1:11" s="8" customFormat="1" x14ac:dyDescent="0.2">
      <c r="A24" s="83" t="s">
        <v>4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</row>
    <row r="25" spans="1:11" s="8" customFormat="1" x14ac:dyDescent="0.2">
      <c r="A25" s="10" t="s">
        <v>5</v>
      </c>
    </row>
    <row r="26" spans="1:11" s="8" customFormat="1" ht="24.75" customHeight="1" x14ac:dyDescent="0.2">
      <c r="A26" s="78" t="s">
        <v>54</v>
      </c>
      <c r="B26" s="79"/>
      <c r="C26" s="79"/>
      <c r="D26" s="79"/>
      <c r="E26" s="79"/>
      <c r="F26" s="79"/>
      <c r="G26" s="79"/>
      <c r="H26" s="79"/>
      <c r="I26" s="79"/>
      <c r="J26" s="79"/>
      <c r="K26" s="79"/>
    </row>
    <row r="27" spans="1:11" x14ac:dyDescent="0.2">
      <c r="A27" s="10" t="s">
        <v>6</v>
      </c>
      <c r="B27" s="84" t="s">
        <v>53</v>
      </c>
      <c r="C27" s="84"/>
      <c r="D27" s="84"/>
      <c r="E27" s="84"/>
      <c r="F27" s="84"/>
      <c r="G27" s="84"/>
      <c r="H27" s="84"/>
      <c r="I27" s="84"/>
      <c r="J27" s="84"/>
      <c r="K27" s="84"/>
    </row>
    <row r="28" spans="1:11" x14ac:dyDescent="0.2">
      <c r="A28" s="83" t="s">
        <v>7</v>
      </c>
      <c r="B28" s="79"/>
      <c r="C28" s="79"/>
      <c r="D28" s="79"/>
      <c r="E28" s="79"/>
      <c r="F28" s="79"/>
      <c r="G28" s="79"/>
      <c r="H28" s="79"/>
      <c r="I28" s="79"/>
      <c r="J28" s="79"/>
      <c r="K28" s="79"/>
    </row>
    <row r="29" spans="1:11" s="8" customFormat="1" x14ac:dyDescent="0.2">
      <c r="A29" s="10" t="s">
        <v>19</v>
      </c>
      <c r="B29" s="85" t="str">
        <f>Данные!B17</f>
        <v>Фадеев Владимир Петрович</v>
      </c>
      <c r="C29" s="84"/>
      <c r="D29" s="84"/>
      <c r="E29" s="84"/>
      <c r="F29" s="84"/>
      <c r="G29" s="84"/>
      <c r="H29" s="84"/>
      <c r="I29" s="84"/>
      <c r="J29" s="84"/>
      <c r="K29" s="84"/>
    </row>
    <row r="30" spans="1:11" s="8" customFormat="1" x14ac:dyDescent="0.2">
      <c r="A30" s="11" t="s">
        <v>21</v>
      </c>
      <c r="B30" s="76" t="s">
        <v>65</v>
      </c>
      <c r="C30" s="77"/>
      <c r="D30" s="77"/>
      <c r="E30" s="77"/>
      <c r="F30" s="77"/>
      <c r="G30" s="77"/>
      <c r="H30" s="77"/>
      <c r="I30" s="77"/>
      <c r="J30" s="77"/>
      <c r="K30" s="77"/>
    </row>
    <row r="31" spans="1:11" s="8" customFormat="1" ht="24.75" customHeight="1" x14ac:dyDescent="0.2">
      <c r="A31" s="12" t="s">
        <v>55</v>
      </c>
      <c r="B31" s="76" t="str">
        <f>Данные!B18</f>
        <v>Полис №49915/776/01007/3 от 01.03.2013 г. выдан ОАО «АльфаСтрахование». Срок действия – по 28 февраля 2014 г. Страховая сумма – 3 млн.руб.</v>
      </c>
      <c r="C31" s="76"/>
      <c r="D31" s="76"/>
      <c r="E31" s="76"/>
      <c r="F31" s="76"/>
      <c r="G31" s="76"/>
      <c r="H31" s="76"/>
      <c r="I31" s="76"/>
      <c r="J31" s="76"/>
      <c r="K31" s="76"/>
    </row>
    <row r="32" spans="1:11" s="8" customFormat="1" x14ac:dyDescent="0.2">
      <c r="A32" s="83" t="s">
        <v>22</v>
      </c>
      <c r="B32" s="79"/>
      <c r="C32" s="79"/>
      <c r="D32" s="79"/>
      <c r="E32" s="79"/>
      <c r="F32" s="79"/>
      <c r="G32" s="79"/>
      <c r="H32" s="79"/>
      <c r="I32" s="79"/>
      <c r="J32" s="79"/>
      <c r="K32" s="79"/>
    </row>
    <row r="33" spans="1:11" s="8" customFormat="1" ht="21.75" customHeight="1" x14ac:dyDescent="0.2">
      <c r="A33" s="80" t="s">
        <v>75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</row>
    <row r="34" spans="1:11" s="8" customFormat="1" ht="36.75" customHeight="1" x14ac:dyDescent="0.2">
      <c r="A34" s="80" t="s">
        <v>76</v>
      </c>
      <c r="B34" s="81"/>
      <c r="C34" s="81"/>
      <c r="D34" s="81"/>
      <c r="E34" s="81"/>
      <c r="F34" s="81"/>
      <c r="G34" s="81"/>
      <c r="H34" s="81"/>
      <c r="I34" s="81"/>
      <c r="J34" s="81"/>
      <c r="K34" s="81"/>
    </row>
    <row r="35" spans="1:11" s="8" customFormat="1" ht="22.5" customHeight="1" x14ac:dyDescent="0.2">
      <c r="A35" s="80" t="s">
        <v>77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</row>
    <row r="36" spans="1:11" s="8" customFormat="1" x14ac:dyDescent="0.2">
      <c r="A36" s="83" t="s">
        <v>23</v>
      </c>
      <c r="B36" s="79"/>
      <c r="C36" s="79"/>
      <c r="D36" s="79"/>
      <c r="E36" s="79"/>
      <c r="F36" s="79"/>
      <c r="G36" s="79"/>
      <c r="H36" s="79"/>
      <c r="I36" s="79"/>
      <c r="J36" s="79"/>
      <c r="K36" s="79"/>
    </row>
    <row r="37" spans="1:11" s="8" customFormat="1" x14ac:dyDescent="0.2">
      <c r="A37" s="16" t="s">
        <v>24</v>
      </c>
      <c r="D37" s="82" t="s">
        <v>28</v>
      </c>
      <c r="E37" s="79"/>
      <c r="F37" s="79"/>
      <c r="G37" s="79"/>
      <c r="H37" s="79"/>
      <c r="I37" s="79"/>
      <c r="J37" s="79"/>
      <c r="K37" s="79"/>
    </row>
    <row r="38" spans="1:11" s="8" customFormat="1" x14ac:dyDescent="0.2">
      <c r="A38" s="16" t="s">
        <v>25</v>
      </c>
      <c r="D38" s="82" t="str">
        <f>Данные!B3</f>
        <v>Леонов Александр Юрьевич</v>
      </c>
      <c r="E38" s="79"/>
      <c r="F38" s="79"/>
      <c r="G38" s="79"/>
      <c r="H38" s="79"/>
      <c r="I38" s="79"/>
      <c r="J38" s="79"/>
      <c r="K38" s="79"/>
    </row>
    <row r="39" spans="1:11" s="8" customFormat="1" ht="12.75" customHeight="1" x14ac:dyDescent="0.2">
      <c r="A39" s="76" t="s">
        <v>50</v>
      </c>
      <c r="B39" s="79"/>
      <c r="D39" s="76" t="str">
        <f>Данные!B13</f>
        <v>РФ, РТ, г.Набережные Челны, ул. Татарстан, д.24, кв.171</v>
      </c>
      <c r="E39" s="79"/>
      <c r="F39" s="79"/>
      <c r="G39" s="79"/>
      <c r="H39" s="79"/>
      <c r="I39" s="79"/>
      <c r="J39" s="79"/>
      <c r="K39" s="79"/>
    </row>
    <row r="40" spans="1:11" s="8" customFormat="1" ht="27" customHeight="1" x14ac:dyDescent="0.2">
      <c r="A40" s="76" t="s">
        <v>51</v>
      </c>
      <c r="B40" s="79"/>
      <c r="D40" s="100" t="str">
        <f>Данные!B14</f>
        <v>паспорт: 92 07 №038432, выдан 10.07.2007 г. Отделением в Центральном р-не ОУФМС России по Республике Татарстан в гор. Набережные Челны</v>
      </c>
      <c r="E40" s="100"/>
      <c r="F40" s="100"/>
      <c r="G40" s="100"/>
      <c r="H40" s="100"/>
      <c r="I40" s="100"/>
      <c r="J40" s="100"/>
      <c r="K40" s="100"/>
    </row>
    <row r="41" spans="1:11" s="8" customFormat="1" x14ac:dyDescent="0.2">
      <c r="A41" s="13" t="s">
        <v>48</v>
      </c>
      <c r="D41" s="100"/>
      <c r="E41" s="100"/>
      <c r="F41" s="100"/>
      <c r="G41" s="100"/>
      <c r="H41" s="100"/>
      <c r="I41" s="100"/>
      <c r="J41" s="100"/>
      <c r="K41" s="100"/>
    </row>
    <row r="42" spans="1:11" s="8" customFormat="1" x14ac:dyDescent="0.2">
      <c r="A42" s="16" t="s">
        <v>26</v>
      </c>
      <c r="D42" s="84"/>
      <c r="E42" s="79"/>
      <c r="F42" s="79"/>
      <c r="G42" s="79"/>
      <c r="H42" s="79"/>
      <c r="I42" s="79"/>
      <c r="J42" s="79"/>
      <c r="K42" s="79"/>
    </row>
    <row r="43" spans="1:11" s="8" customFormat="1" x14ac:dyDescent="0.2">
      <c r="A43" s="23"/>
      <c r="D43" s="104"/>
      <c r="E43" s="105"/>
      <c r="F43" s="105"/>
      <c r="G43" s="105"/>
      <c r="H43" s="105"/>
      <c r="I43" s="105"/>
      <c r="J43" s="105"/>
      <c r="K43" s="105"/>
    </row>
    <row r="44" spans="1:11" s="8" customFormat="1" x14ac:dyDescent="0.2">
      <c r="A44" s="16" t="s">
        <v>27</v>
      </c>
      <c r="D44" s="82" t="str">
        <f>Данные!B15</f>
        <v>Леонов А.Ю.</v>
      </c>
      <c r="E44" s="79"/>
      <c r="F44" s="79"/>
      <c r="G44" s="79"/>
      <c r="H44" s="79"/>
      <c r="I44" s="79"/>
      <c r="J44" s="79"/>
      <c r="K44" s="79"/>
    </row>
    <row r="45" spans="1:11" s="8" customFormat="1" x14ac:dyDescent="0.2">
      <c r="A45" s="17" t="str">
        <f>Данные!B2</f>
        <v>10.07.2013 г.</v>
      </c>
      <c r="D45" s="106" t="str">
        <f>Данные!B2</f>
        <v>10.07.2013 г.</v>
      </c>
      <c r="E45" s="79"/>
      <c r="F45" s="79"/>
      <c r="G45" s="79"/>
      <c r="H45" s="79"/>
      <c r="I45" s="79"/>
      <c r="J45" s="79"/>
      <c r="K45" s="79"/>
    </row>
    <row r="46" spans="1:11" s="8" customFormat="1" ht="6" customHeight="1" x14ac:dyDescent="0.2"/>
    <row r="47" spans="1:11" s="8" customFormat="1" x14ac:dyDescent="0.2">
      <c r="A47" s="89" t="s">
        <v>57</v>
      </c>
      <c r="B47" s="89"/>
      <c r="C47" s="89"/>
      <c r="D47" s="102" t="str">
        <f>Данные!B1</f>
        <v>424/2013-К</v>
      </c>
      <c r="E47" s="87"/>
      <c r="F47" s="22"/>
      <c r="G47" s="22"/>
      <c r="H47" s="22" t="s">
        <v>29</v>
      </c>
      <c r="I47" s="22"/>
      <c r="J47" s="87" t="str">
        <f>Данные!B16</f>
        <v>10.07.2013 г.</v>
      </c>
      <c r="K47" s="87"/>
    </row>
    <row r="48" spans="1:11" s="8" customFormat="1" x14ac:dyDescent="0.2"/>
    <row r="49" spans="1:11" s="8" customFormat="1" x14ac:dyDescent="0.2">
      <c r="A49" s="8" t="s">
        <v>58</v>
      </c>
    </row>
    <row r="50" spans="1:11" s="8" customFormat="1" x14ac:dyDescent="0.2">
      <c r="A50" s="20" t="s">
        <v>59</v>
      </c>
      <c r="B50" s="84" t="str">
        <f>Данные!B3</f>
        <v>Леонов Александр Юрьевич</v>
      </c>
      <c r="C50" s="84"/>
      <c r="D50" s="84"/>
      <c r="E50" s="84"/>
      <c r="F50" s="84"/>
      <c r="G50" s="84"/>
      <c r="H50" s="84"/>
      <c r="I50" s="84"/>
      <c r="J50" s="84"/>
      <c r="K50" s="84"/>
    </row>
    <row r="51" spans="1:11" s="8" customFormat="1" x14ac:dyDescent="0.2">
      <c r="A51" s="20" t="s">
        <v>60</v>
      </c>
      <c r="B51" s="84" t="s">
        <v>72</v>
      </c>
      <c r="C51" s="84"/>
      <c r="D51" s="84"/>
      <c r="E51" s="84"/>
      <c r="F51" s="84"/>
      <c r="G51" s="84"/>
      <c r="H51" s="84"/>
      <c r="I51" s="84"/>
      <c r="J51" s="84"/>
      <c r="K51" s="84"/>
    </row>
    <row r="52" spans="1:11" s="8" customFormat="1" x14ac:dyDescent="0.2">
      <c r="A52" s="7" t="s">
        <v>61</v>
      </c>
      <c r="B52" s="7"/>
      <c r="C52" s="7"/>
      <c r="D52" s="7"/>
      <c r="E52" s="7"/>
      <c r="F52" s="97" t="str">
        <f>Данные!B1</f>
        <v>424/2013-К</v>
      </c>
      <c r="G52" s="98"/>
      <c r="H52" s="98"/>
      <c r="I52" s="7"/>
      <c r="J52" s="18" t="s">
        <v>29</v>
      </c>
      <c r="K52" s="14" t="str">
        <f>Данные!B2</f>
        <v>10.07.2013 г.</v>
      </c>
    </row>
    <row r="53" spans="1:11" s="8" customFormat="1" x14ac:dyDescent="0.2">
      <c r="A53" s="8" t="s">
        <v>73</v>
      </c>
    </row>
    <row r="54" spans="1:11" s="8" customFormat="1" x14ac:dyDescent="0.2">
      <c r="A54" s="8" t="s">
        <v>62</v>
      </c>
    </row>
    <row r="55" spans="1:11" s="8" customFormat="1" x14ac:dyDescent="0.2"/>
    <row r="56" spans="1:11" s="22" customFormat="1" x14ac:dyDescent="0.2">
      <c r="A56" s="22" t="s">
        <v>63</v>
      </c>
      <c r="D56" s="22" t="s">
        <v>28</v>
      </c>
    </row>
    <row r="57" spans="1:11" s="8" customFormat="1" ht="6.75" customHeight="1" x14ac:dyDescent="0.2"/>
    <row r="58" spans="1:11" s="8" customFormat="1" x14ac:dyDescent="0.2">
      <c r="A58" s="21"/>
      <c r="D58" s="99"/>
      <c r="E58" s="99"/>
      <c r="F58" s="99"/>
      <c r="G58" s="99"/>
      <c r="H58" s="99"/>
      <c r="I58" s="99"/>
      <c r="J58" s="99"/>
      <c r="K58" s="99"/>
    </row>
    <row r="59" spans="1:11" s="22" customFormat="1" x14ac:dyDescent="0.2">
      <c r="A59" s="22" t="str">
        <f>A44</f>
        <v xml:space="preserve">(Фадеев В.П.)  </v>
      </c>
      <c r="D59" s="103" t="str">
        <f>D44</f>
        <v>Леонов А.Ю.</v>
      </c>
      <c r="E59" s="103"/>
      <c r="F59" s="103"/>
      <c r="G59" s="103"/>
      <c r="H59" s="103"/>
      <c r="I59" s="103"/>
      <c r="J59" s="103"/>
      <c r="K59" s="103"/>
    </row>
    <row r="60" spans="1:11" s="8" customFormat="1" x14ac:dyDescent="0.2"/>
    <row r="65" spans="2:11" x14ac:dyDescent="0.2">
      <c r="B65" s="84"/>
      <c r="C65" s="84"/>
      <c r="D65" s="84"/>
      <c r="E65" s="84"/>
      <c r="F65" s="84"/>
      <c r="G65" s="84"/>
      <c r="H65" s="84"/>
      <c r="I65" s="84"/>
      <c r="J65" s="84"/>
      <c r="K65" s="84"/>
    </row>
  </sheetData>
  <mergeCells count="53">
    <mergeCell ref="B65:K65"/>
    <mergeCell ref="B51:K51"/>
    <mergeCell ref="D42:K42"/>
    <mergeCell ref="A47:C47"/>
    <mergeCell ref="D47:E47"/>
    <mergeCell ref="J47:K47"/>
    <mergeCell ref="D59:K59"/>
    <mergeCell ref="D43:K43"/>
    <mergeCell ref="D44:K44"/>
    <mergeCell ref="D45:K45"/>
    <mergeCell ref="F52:H52"/>
    <mergeCell ref="D58:K58"/>
    <mergeCell ref="B50:K50"/>
    <mergeCell ref="D40:K41"/>
    <mergeCell ref="A21:K21"/>
    <mergeCell ref="A7:L7"/>
    <mergeCell ref="B9:K9"/>
    <mergeCell ref="B10:K11"/>
    <mergeCell ref="A8:K8"/>
    <mergeCell ref="A17:K17"/>
    <mergeCell ref="A40:B40"/>
    <mergeCell ref="A35:K35"/>
    <mergeCell ref="A33:K33"/>
    <mergeCell ref="F23:K23"/>
    <mergeCell ref="B27:K27"/>
    <mergeCell ref="A32:K32"/>
    <mergeCell ref="B29:K29"/>
    <mergeCell ref="A1:C1"/>
    <mergeCell ref="B13:K13"/>
    <mergeCell ref="B14:K14"/>
    <mergeCell ref="B12:K12"/>
    <mergeCell ref="J2:L2"/>
    <mergeCell ref="B4:C4"/>
    <mergeCell ref="D4:K4"/>
    <mergeCell ref="A5:L5"/>
    <mergeCell ref="A6:K6"/>
    <mergeCell ref="A20:K20"/>
    <mergeCell ref="A24:K24"/>
    <mergeCell ref="A15:K15"/>
    <mergeCell ref="E18:K18"/>
    <mergeCell ref="B16:K16"/>
    <mergeCell ref="A2:I2"/>
    <mergeCell ref="A22:K22"/>
    <mergeCell ref="B30:K30"/>
    <mergeCell ref="A26:K26"/>
    <mergeCell ref="A39:B39"/>
    <mergeCell ref="A34:K34"/>
    <mergeCell ref="D37:K37"/>
    <mergeCell ref="D38:K38"/>
    <mergeCell ref="A36:K36"/>
    <mergeCell ref="A28:K28"/>
    <mergeCell ref="B31:K31"/>
    <mergeCell ref="D39:K39"/>
  </mergeCells>
  <phoneticPr fontId="0" type="noConversion"/>
  <pageMargins left="0.68" right="0.19" top="0.13" bottom="0.32" header="0.13" footer="0.3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3"/>
  <sheetViews>
    <sheetView topLeftCell="A7" workbookViewId="0">
      <selection activeCell="B5" sqref="B5"/>
    </sheetView>
  </sheetViews>
  <sheetFormatPr defaultRowHeight="12.75" x14ac:dyDescent="0.2"/>
  <cols>
    <col min="1" max="1" width="1" style="2" customWidth="1"/>
    <col min="2" max="2" width="10" style="2" customWidth="1"/>
    <col min="3" max="3" width="14.42578125" style="2" customWidth="1"/>
    <col min="4" max="4" width="4.5703125" style="2" customWidth="1"/>
    <col min="5" max="5" width="6.7109375" style="2" customWidth="1"/>
    <col min="6" max="6" width="5.28515625" style="2" customWidth="1"/>
    <col min="7" max="7" width="1" style="2" customWidth="1"/>
    <col min="8" max="16384" width="9.140625" style="2"/>
  </cols>
  <sheetData>
    <row r="1" spans="1:31" ht="27" customHeight="1" x14ac:dyDescent="0.2">
      <c r="A1" s="34"/>
      <c r="B1" s="115" t="s">
        <v>102</v>
      </c>
      <c r="C1" s="115"/>
      <c r="D1" s="115"/>
      <c r="E1" s="115"/>
      <c r="F1" s="115"/>
      <c r="G1" s="35"/>
      <c r="Y1" s="1"/>
      <c r="Z1" s="1"/>
      <c r="AA1" s="1"/>
      <c r="AB1" s="1"/>
      <c r="AC1" s="1"/>
      <c r="AD1" s="1"/>
      <c r="AE1" s="1"/>
    </row>
    <row r="2" spans="1:31" ht="10.5" customHeight="1" x14ac:dyDescent="0.2">
      <c r="A2" s="36"/>
      <c r="B2" s="116" t="s">
        <v>78</v>
      </c>
      <c r="C2" s="116"/>
      <c r="D2" s="116"/>
      <c r="E2" s="116"/>
      <c r="F2" s="116"/>
      <c r="G2" s="38"/>
    </row>
    <row r="3" spans="1:31" ht="10.5" customHeight="1" x14ac:dyDescent="0.2">
      <c r="A3" s="36"/>
      <c r="B3" s="3"/>
      <c r="C3" s="3"/>
      <c r="D3" s="3"/>
      <c r="E3" s="3"/>
      <c r="F3" s="3"/>
      <c r="G3" s="38"/>
    </row>
    <row r="4" spans="1:31" ht="10.5" customHeight="1" x14ac:dyDescent="0.2">
      <c r="A4" s="36"/>
      <c r="B4" s="117" t="s">
        <v>79</v>
      </c>
      <c r="C4" s="117"/>
      <c r="D4" s="117"/>
      <c r="E4" s="117"/>
      <c r="F4" s="117"/>
      <c r="G4" s="38"/>
    </row>
    <row r="5" spans="1:31" ht="15" customHeight="1" x14ac:dyDescent="0.2">
      <c r="A5" s="36"/>
      <c r="B5" s="44" t="s">
        <v>80</v>
      </c>
      <c r="C5" s="47"/>
      <c r="D5" s="47"/>
      <c r="E5" s="107" t="str">
        <f>Данные!B1</f>
        <v>424/2013-К</v>
      </c>
      <c r="F5" s="108"/>
      <c r="G5" s="38"/>
    </row>
    <row r="6" spans="1:31" ht="15.75" customHeight="1" x14ac:dyDescent="0.2">
      <c r="A6" s="36"/>
      <c r="B6" s="39" t="s">
        <v>81</v>
      </c>
      <c r="C6" s="112" t="str">
        <f>Данные!B16</f>
        <v>10.07.2013 г.</v>
      </c>
      <c r="D6" s="112"/>
      <c r="E6" s="112"/>
      <c r="F6" s="40"/>
      <c r="G6" s="38"/>
    </row>
    <row r="7" spans="1:31" ht="24.75" customHeight="1" x14ac:dyDescent="0.2">
      <c r="A7" s="36"/>
      <c r="B7" s="41"/>
      <c r="C7" s="42"/>
      <c r="D7" s="41"/>
      <c r="E7" s="41"/>
      <c r="F7" s="41"/>
      <c r="G7" s="38"/>
    </row>
    <row r="8" spans="1:31" ht="14.25" customHeight="1" x14ac:dyDescent="0.2">
      <c r="A8" s="36"/>
      <c r="B8" s="43" t="s">
        <v>82</v>
      </c>
      <c r="C8" s="113" t="str">
        <f>Данные!B3</f>
        <v>Леонов Александр Юрьевич</v>
      </c>
      <c r="D8" s="113"/>
      <c r="E8" s="113"/>
      <c r="F8" s="113"/>
      <c r="G8" s="38"/>
    </row>
    <row r="9" spans="1:31" ht="16.5" customHeight="1" x14ac:dyDescent="0.2">
      <c r="A9" s="36"/>
      <c r="B9" s="44" t="s">
        <v>83</v>
      </c>
      <c r="C9" s="67" t="s">
        <v>103</v>
      </c>
      <c r="D9" s="67"/>
      <c r="E9" s="68" t="str">
        <f>Данные!B1</f>
        <v>424/2013-К</v>
      </c>
      <c r="F9" s="69"/>
      <c r="G9" s="38"/>
    </row>
    <row r="10" spans="1:31" ht="14.25" customHeight="1" x14ac:dyDescent="0.2">
      <c r="A10" s="36"/>
      <c r="B10" s="70" t="s">
        <v>81</v>
      </c>
      <c r="C10" s="71" t="str">
        <f>Данные!B2</f>
        <v>10.07.2013 г.</v>
      </c>
      <c r="D10" s="45"/>
      <c r="E10" s="45"/>
      <c r="F10" s="45"/>
      <c r="G10" s="38"/>
    </row>
    <row r="11" spans="1:31" ht="14.25" customHeight="1" x14ac:dyDescent="0.2">
      <c r="A11" s="36"/>
      <c r="B11" s="109"/>
      <c r="C11" s="109"/>
      <c r="D11" s="109"/>
      <c r="E11" s="109"/>
      <c r="F11" s="109"/>
      <c r="G11" s="38"/>
    </row>
    <row r="12" spans="1:31" ht="15" customHeight="1" x14ac:dyDescent="0.2">
      <c r="A12" s="36"/>
      <c r="B12" s="46" t="s">
        <v>31</v>
      </c>
      <c r="C12" s="66">
        <f>Данные!B11</f>
        <v>2500</v>
      </c>
      <c r="D12" s="47" t="s">
        <v>84</v>
      </c>
      <c r="E12" s="48" t="s">
        <v>85</v>
      </c>
      <c r="F12" s="44" t="s">
        <v>86</v>
      </c>
      <c r="G12" s="38"/>
    </row>
    <row r="13" spans="1:31" x14ac:dyDescent="0.2">
      <c r="A13" s="36"/>
      <c r="B13" s="3"/>
      <c r="C13" s="37" t="s">
        <v>87</v>
      </c>
      <c r="D13" s="41"/>
      <c r="E13" s="41"/>
      <c r="F13" s="41"/>
      <c r="G13" s="38"/>
    </row>
    <row r="14" spans="1:31" ht="11.25" customHeight="1" x14ac:dyDescent="0.2">
      <c r="A14" s="36"/>
      <c r="B14" s="110" t="str">
        <f>Данные!B12</f>
        <v>(Две тысячи пятьсот) рублей</v>
      </c>
      <c r="C14" s="110"/>
      <c r="D14" s="110"/>
      <c r="E14" s="110"/>
      <c r="F14" s="110"/>
      <c r="G14" s="38"/>
    </row>
    <row r="15" spans="1:31" ht="12.75" customHeight="1" x14ac:dyDescent="0.2">
      <c r="A15" s="36"/>
      <c r="B15" s="122" t="s">
        <v>88</v>
      </c>
      <c r="C15" s="122"/>
      <c r="D15" s="122"/>
      <c r="E15" s="122"/>
      <c r="F15" s="122"/>
      <c r="G15" s="38"/>
    </row>
    <row r="16" spans="1:31" ht="12.75" customHeight="1" x14ac:dyDescent="0.2">
      <c r="A16" s="36"/>
      <c r="B16" s="119" t="s">
        <v>89</v>
      </c>
      <c r="C16" s="110"/>
      <c r="D16" s="110"/>
      <c r="E16" s="110"/>
      <c r="F16" s="110"/>
      <c r="G16" s="38"/>
    </row>
    <row r="17" spans="1:7" ht="17.25" customHeight="1" x14ac:dyDescent="0.2">
      <c r="A17" s="36"/>
      <c r="B17" s="120" t="s">
        <v>90</v>
      </c>
      <c r="C17" s="121"/>
      <c r="D17" s="49" t="s">
        <v>84</v>
      </c>
      <c r="E17" s="50" t="s">
        <v>85</v>
      </c>
      <c r="F17" s="40" t="s">
        <v>86</v>
      </c>
      <c r="G17" s="38"/>
    </row>
    <row r="18" spans="1:7" ht="18.75" customHeight="1" x14ac:dyDescent="0.2">
      <c r="A18" s="36"/>
      <c r="B18" s="44" t="s">
        <v>91</v>
      </c>
      <c r="C18" s="113" t="s">
        <v>93</v>
      </c>
      <c r="D18" s="113"/>
      <c r="E18" s="113"/>
      <c r="F18" s="113"/>
      <c r="G18" s="38"/>
    </row>
    <row r="19" spans="1:7" ht="9" customHeight="1" x14ac:dyDescent="0.2">
      <c r="A19" s="36"/>
      <c r="B19" s="3"/>
      <c r="C19" s="3"/>
      <c r="D19" s="3"/>
      <c r="E19" s="3"/>
      <c r="F19" s="3"/>
      <c r="G19" s="38"/>
    </row>
    <row r="20" spans="1:7" ht="16.5" customHeight="1" x14ac:dyDescent="0.2">
      <c r="A20" s="36"/>
      <c r="B20" s="51"/>
      <c r="C20" s="42"/>
      <c r="D20" s="41"/>
      <c r="E20" s="41"/>
      <c r="F20" s="41"/>
      <c r="G20" s="38"/>
    </row>
    <row r="21" spans="1:7" x14ac:dyDescent="0.2">
      <c r="A21" s="36"/>
      <c r="B21" s="118" t="str">
        <f>C6</f>
        <v>10.07.2013 г.</v>
      </c>
      <c r="C21" s="111"/>
      <c r="D21" s="40"/>
      <c r="E21" s="41"/>
      <c r="F21" s="41"/>
      <c r="G21" s="38"/>
    </row>
    <row r="22" spans="1:7" ht="15" customHeight="1" x14ac:dyDescent="0.2">
      <c r="A22" s="36"/>
      <c r="B22" s="51"/>
      <c r="C22" s="41"/>
      <c r="D22" s="41"/>
      <c r="E22" s="41"/>
      <c r="F22" s="41"/>
      <c r="G22" s="38"/>
    </row>
    <row r="23" spans="1:7" ht="15" x14ac:dyDescent="0.2">
      <c r="A23" s="36"/>
      <c r="B23" s="53"/>
      <c r="C23" s="42"/>
      <c r="D23" s="41"/>
      <c r="E23" s="41"/>
      <c r="F23" s="41"/>
      <c r="G23" s="38"/>
    </row>
    <row r="24" spans="1:7" ht="10.5" customHeight="1" x14ac:dyDescent="0.2">
      <c r="A24" s="36"/>
      <c r="B24" s="54" t="s">
        <v>92</v>
      </c>
      <c r="C24" s="42"/>
      <c r="D24" s="41"/>
      <c r="E24" s="41"/>
      <c r="F24" s="41"/>
      <c r="G24" s="38"/>
    </row>
    <row r="25" spans="1:7" ht="14.25" customHeight="1" x14ac:dyDescent="0.2">
      <c r="A25" s="36"/>
      <c r="B25" s="51"/>
      <c r="C25" s="42"/>
      <c r="D25" s="41"/>
      <c r="E25" s="41"/>
      <c r="F25" s="41"/>
      <c r="G25" s="38"/>
    </row>
    <row r="26" spans="1:7" ht="20.25" customHeight="1" x14ac:dyDescent="0.2">
      <c r="A26" s="36"/>
      <c r="B26" s="56" t="s">
        <v>94</v>
      </c>
      <c r="C26" s="57"/>
      <c r="D26" s="52"/>
      <c r="E26" s="111" t="s">
        <v>30</v>
      </c>
      <c r="F26" s="111"/>
      <c r="G26" s="38"/>
    </row>
    <row r="27" spans="1:7" x14ac:dyDescent="0.2">
      <c r="A27" s="36"/>
      <c r="B27" s="58" t="s">
        <v>95</v>
      </c>
      <c r="C27" s="37" t="s">
        <v>96</v>
      </c>
      <c r="D27" s="59"/>
      <c r="E27" s="114" t="s">
        <v>97</v>
      </c>
      <c r="F27" s="114"/>
      <c r="G27" s="60"/>
    </row>
    <row r="28" spans="1:7" x14ac:dyDescent="0.2">
      <c r="A28" s="36"/>
      <c r="B28" s="44" t="s">
        <v>98</v>
      </c>
      <c r="C28" s="57"/>
      <c r="D28" s="52"/>
      <c r="E28" s="111"/>
      <c r="F28" s="111"/>
      <c r="G28" s="61"/>
    </row>
    <row r="29" spans="1:7" ht="15.75" customHeight="1" x14ac:dyDescent="0.2">
      <c r="A29" s="36"/>
      <c r="B29" s="55" t="s">
        <v>99</v>
      </c>
      <c r="C29" s="37" t="s">
        <v>100</v>
      </c>
      <c r="D29" s="59"/>
      <c r="E29" s="114" t="s">
        <v>101</v>
      </c>
      <c r="F29" s="114"/>
      <c r="G29" s="60"/>
    </row>
    <row r="30" spans="1:7" x14ac:dyDescent="0.2">
      <c r="A30" s="36"/>
      <c r="B30" s="3"/>
      <c r="C30" s="3"/>
      <c r="D30" s="3"/>
      <c r="E30" s="3"/>
      <c r="F30" s="3"/>
      <c r="G30" s="61"/>
    </row>
    <row r="31" spans="1:7" ht="13.5" customHeight="1" x14ac:dyDescent="0.2">
      <c r="A31" s="36"/>
      <c r="B31" s="3"/>
      <c r="C31" s="3"/>
      <c r="D31" s="3"/>
      <c r="E31" s="3"/>
      <c r="F31" s="3"/>
      <c r="G31" s="62"/>
    </row>
    <row r="32" spans="1:7" x14ac:dyDescent="0.2">
      <c r="A32" s="36"/>
      <c r="B32" s="3"/>
      <c r="C32" s="3"/>
      <c r="D32" s="3"/>
      <c r="E32" s="3"/>
      <c r="F32" s="3"/>
      <c r="G32" s="62"/>
    </row>
    <row r="33" spans="1:7" ht="5.25" customHeight="1" x14ac:dyDescent="0.2">
      <c r="A33" s="64"/>
      <c r="B33" s="63"/>
      <c r="C33" s="63"/>
      <c r="D33" s="63"/>
      <c r="E33" s="63"/>
      <c r="F33" s="63"/>
      <c r="G33" s="65"/>
    </row>
  </sheetData>
  <mergeCells count="17">
    <mergeCell ref="E29:F29"/>
    <mergeCell ref="E26:F26"/>
    <mergeCell ref="B1:F1"/>
    <mergeCell ref="B2:F2"/>
    <mergeCell ref="B4:F4"/>
    <mergeCell ref="B21:C21"/>
    <mergeCell ref="B16:F16"/>
    <mergeCell ref="B17:C17"/>
    <mergeCell ref="C18:F18"/>
    <mergeCell ref="B15:F15"/>
    <mergeCell ref="E5:F5"/>
    <mergeCell ref="B11:F11"/>
    <mergeCell ref="B14:F14"/>
    <mergeCell ref="E28:F28"/>
    <mergeCell ref="C6:E6"/>
    <mergeCell ref="C8:F8"/>
    <mergeCell ref="E27:F27"/>
  </mergeCells>
  <phoneticPr fontId="0" type="noConversion"/>
  <pageMargins left="0.2" right="0.2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D5" sqref="D5"/>
    </sheetView>
  </sheetViews>
  <sheetFormatPr defaultRowHeight="12.75" x14ac:dyDescent="0.2"/>
  <cols>
    <col min="1" max="1" width="20.85546875" customWidth="1"/>
    <col min="2" max="2" width="48.7109375" style="30" customWidth="1"/>
  </cols>
  <sheetData>
    <row r="1" spans="1:2" ht="38.25" x14ac:dyDescent="0.2">
      <c r="A1" s="30" t="s">
        <v>20</v>
      </c>
      <c r="B1" s="30" t="s">
        <v>110</v>
      </c>
    </row>
    <row r="2" spans="1:2" ht="38.25" x14ac:dyDescent="0.2">
      <c r="A2" s="30" t="s">
        <v>68</v>
      </c>
      <c r="B2" s="30" t="s">
        <v>109</v>
      </c>
    </row>
  </sheetData>
  <phoneticPr fontId="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Данные</vt:lpstr>
      <vt:lpstr>Договор</vt:lpstr>
      <vt:lpstr>Приходник</vt:lpstr>
      <vt:lpstr>Список</vt:lpstr>
      <vt:lpstr>Договор!Область_печати</vt:lpstr>
      <vt:lpstr>Приходник!Область_печати</vt:lpstr>
      <vt:lpstr>Список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ААА ЛЛЛ</cp:lastModifiedBy>
  <cp:lastPrinted>2013-07-10T11:42:22Z</cp:lastPrinted>
  <dcterms:created xsi:type="dcterms:W3CDTF">1996-10-08T23:32:33Z</dcterms:created>
  <dcterms:modified xsi:type="dcterms:W3CDTF">2014-03-10T16:46:14Z</dcterms:modified>
</cp:coreProperties>
</file>